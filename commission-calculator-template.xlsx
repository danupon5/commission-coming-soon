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%&quot;"/>
    <numFmt numFmtId="165" formatCode="&quot;฿&quot;#,##0"/>
    <numFmt numFmtId="166" formatCode="&quot;$&quot;#,##0"/>
    <numFmt numFmtId="167" formatCode="0.00&quot;%&quot;"/>
    <numFmt numFmtId="168" formatCode="&quot;฿&quot;#,##0.00"/>
    <numFmt numFmtId="169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A1A1A"/>
      <sz val="11"/>
    </font>
    <font>
      <color rgb="001A1A1A"/>
      <sz val="11"/>
    </font>
    <font>
      <b val="1"/>
      <color rgb="001A6FBF"/>
      <sz val="11"/>
    </font>
    <font>
      <b val="1"/>
      <color rgb="001A7A4A"/>
      <sz val="11"/>
    </font>
    <font>
      <i val="1"/>
      <color rgb="00999999"/>
      <sz val="9"/>
    </font>
    <font>
      <b val="1"/>
      <color rgb="00666666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0F0F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3" fillId="0" borderId="0" applyAlignment="1" pivotButton="0" quotePrefix="0" xfId="0">
      <alignment horizontal="center"/>
    </xf>
    <xf numFmtId="165" fontId="5" fillId="0" borderId="1" pivotButton="0" quotePrefix="0" xfId="0"/>
    <xf numFmtId="0" fontId="6" fillId="0" borderId="0" pivotButton="0" quotePrefix="0" xfId="0"/>
    <xf numFmtId="166" fontId="4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7" fillId="4" borderId="1" applyAlignment="1" pivotButton="0" quotePrefix="0" xfId="0">
      <alignment horizontal="center"/>
    </xf>
    <xf numFmtId="0" fontId="3" fillId="0" borderId="1" pivotButton="0" quotePrefix="0" xfId="0"/>
    <xf numFmtId="164" fontId="0" fillId="0" borderId="1" applyAlignment="1" pivotButton="0" quotePrefix="0" xfId="0">
      <alignment horizontal="right"/>
    </xf>
    <xf numFmtId="168" fontId="0" fillId="0" borderId="1" pivotButton="0" quotePrefix="0" xfId="0"/>
    <xf numFmtId="169" fontId="0" fillId="0" borderId="1" pivotButton="0" quotePrefix="0" xfId="0"/>
    <xf numFmtId="0" fontId="8" fillId="4" borderId="1" pivotButton="0" quotePrefix="0" xfId="0"/>
    <xf numFmtId="0" fontId="0" fillId="4" borderId="1" pivotButton="0" quotePrefix="0" xfId="0"/>
    <xf numFmtId="168" fontId="0" fillId="4" borderId="1" pivotButton="0" quotePrefix="0" xfId="0"/>
    <xf numFmtId="169" fontId="0" fillId="4" borderId="1" pivotButton="0" quotePrefix="0" xfId="0"/>
    <xf numFmtId="0" fontId="7" fillId="4" borderId="0" pivotButton="0" quotePrefix="0" xfId="0"/>
    <xf numFmtId="164" fontId="0" fillId="0" borderId="1" applyAlignment="1" pivotButton="0" quotePrefix="0" xfId="0">
      <alignment horizontal="center"/>
    </xf>
    <xf numFmtId="166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0" customWidth="1" min="11" max="11"/>
  </cols>
  <sheetData>
    <row r="1" ht="28" customHeight="1">
      <c r="A1" s="1" t="inlineStr">
        <is>
          <t>Commission Calculator</t>
        </is>
      </c>
    </row>
    <row r="3">
      <c r="A3" s="2" t="inlineStr">
        <is>
          <t>GLOBAL SETTINGS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Exchange rate (THB/USD)</t>
        </is>
      </c>
      <c r="B4" s="5" t="n">
        <v>35</v>
      </c>
    </row>
    <row r="5">
      <c r="A5" s="4" t="inlineStr">
        <is>
          <t>Salary M1 (THB / month)</t>
        </is>
      </c>
      <c r="B5" s="6" t="n">
        <v>100000</v>
      </c>
    </row>
    <row r="6">
      <c r="A6" s="4" t="inlineStr">
        <is>
          <t>Salary % : Commission %</t>
        </is>
      </c>
      <c r="B6" s="7" t="n">
        <v>60</v>
      </c>
      <c r="C6" s="8" t="inlineStr">
        <is>
          <t>:</t>
        </is>
      </c>
      <c r="D6" s="7" t="n">
        <v>40</v>
      </c>
    </row>
    <row r="7">
      <c r="A7" s="4" t="inlineStr">
        <is>
          <t>Commission THB (100% achievement)</t>
        </is>
      </c>
      <c r="B7" s="9">
        <f>IF(B6=0,0,(B5/(B6/100))*(D6/100)*12)</f>
        <v/>
      </c>
      <c r="E7" s="10">
        <f> Salary M1 ÷ Salary% × Com% × 12</f>
        <v/>
      </c>
    </row>
    <row r="8">
      <c r="A8" s="4" t="inlineStr">
        <is>
          <t>Quota M1 : Quota M2 (USD)</t>
        </is>
      </c>
      <c r="B8" s="6" t="n">
        <v>500000</v>
      </c>
      <c r="C8" s="8" t="inlineStr">
        <is>
          <t>:</t>
        </is>
      </c>
      <c r="D8" s="6" t="n">
        <v>8000000</v>
      </c>
    </row>
    <row r="9">
      <c r="A9" s="4" t="inlineStr">
        <is>
          <t>Ratio M1 : M2 (tier split)</t>
        </is>
      </c>
      <c r="B9" s="5" t="n">
        <v>50</v>
      </c>
      <c r="C9" s="8" t="inlineStr">
        <is>
          <t>:</t>
        </is>
      </c>
      <c r="D9" s="5" t="n">
        <v>50</v>
      </c>
    </row>
    <row r="11">
      <c r="A11" s="2" t="inlineStr">
        <is>
          <t>PROJECT GP / REVENUE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4" t="inlineStr">
        <is>
          <t>M1 Project GP (USD)</t>
        </is>
      </c>
      <c r="B12" s="11" t="n">
        <v>1000</v>
      </c>
    </row>
    <row r="13">
      <c r="A13" s="4" t="inlineStr">
        <is>
          <t>M1 Project GP (THB)</t>
        </is>
      </c>
      <c r="B13" s="9">
        <f>B12*B4</f>
        <v/>
      </c>
    </row>
    <row r="14">
      <c r="A14" s="4" t="inlineStr">
        <is>
          <t>M2 Project Rev (USD)</t>
        </is>
      </c>
      <c r="B14" s="11" t="n">
        <v>5000000</v>
      </c>
    </row>
    <row r="15">
      <c r="A15" s="4" t="inlineStr">
        <is>
          <t>M2 Project Rev (THB)</t>
        </is>
      </c>
      <c r="B15" s="9">
        <f>B14*B4</f>
        <v/>
      </c>
    </row>
    <row r="17">
      <c r="A17" s="2" t="inlineStr">
        <is>
          <t>RESULTS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4" t="inlineStr">
        <is>
          <t>Total commission (THB)</t>
        </is>
      </c>
      <c r="B18" s="9">
        <f>G27</f>
        <v/>
      </c>
    </row>
    <row r="19">
      <c r="A19" s="4" t="inlineStr">
        <is>
          <t>Total commission (USD)</t>
        </is>
      </c>
      <c r="B19" s="12">
        <f>F27</f>
        <v/>
      </c>
    </row>
    <row r="20">
      <c r="A20" s="4" t="inlineStr">
        <is>
          <t>M1 achievement %</t>
        </is>
      </c>
      <c r="B20" s="13">
        <f>IF(B8=0,0,B12/B8*100)</f>
        <v/>
      </c>
    </row>
    <row r="21">
      <c r="A21" s="4" t="inlineStr">
        <is>
          <t>M2 achievement %</t>
        </is>
      </c>
      <c r="B21" s="13">
        <f>IF(D8=0,0,B14/D8*100)</f>
        <v/>
      </c>
    </row>
    <row r="24">
      <c r="A24" s="14" t="inlineStr">
        <is>
          <t>Tier</t>
        </is>
      </c>
      <c r="B24" s="14" t="inlineStr">
        <is>
          <t>Ratio %</t>
        </is>
      </c>
      <c r="C24" s="14" t="inlineStr">
        <is>
          <t>Achieve paid (THB)</t>
        </is>
      </c>
      <c r="D24" s="14" t="inlineStr">
        <is>
          <t>Quota (USD)</t>
        </is>
      </c>
      <c r="E24" s="14" t="inlineStr">
        <is>
          <t>Project GP / Rev (USD)</t>
        </is>
      </c>
      <c r="F24" s="14" t="inlineStr">
        <is>
          <t>Commission (USD)</t>
        </is>
      </c>
      <c r="G24" s="14" t="inlineStr">
        <is>
          <t>Commission (THB)</t>
        </is>
      </c>
    </row>
    <row r="25">
      <c r="A25" s="15" t="inlineStr">
        <is>
          <t>M1</t>
        </is>
      </c>
      <c r="B25" s="16">
        <f>ROUND(B9*100/(B9+D9),0)</f>
        <v/>
      </c>
      <c r="C25" s="17">
        <f>B7*(B9/(B9+D9))</f>
        <v/>
      </c>
      <c r="D25" s="18">
        <f>B8</f>
        <v/>
      </c>
      <c r="E25" s="18">
        <f>B12</f>
        <v/>
      </c>
      <c r="F25" s="18">
        <f>IF(B4=0,0,G25/B4)</f>
        <v/>
      </c>
      <c r="G25" s="17">
        <f>IF(D25=0,0,(E25/D25)*C25)</f>
        <v/>
      </c>
    </row>
    <row r="26">
      <c r="A26" s="15" t="inlineStr">
        <is>
          <t>M2</t>
        </is>
      </c>
      <c r="B26" s="16">
        <f>ROUND(D9*100/(B9+D9),0)</f>
        <v/>
      </c>
      <c r="C26" s="17">
        <f>B7*(D9/(B9+D9))</f>
        <v/>
      </c>
      <c r="D26" s="18">
        <f>D8</f>
        <v/>
      </c>
      <c r="E26" s="18">
        <f>B14</f>
        <v/>
      </c>
      <c r="F26" s="18">
        <f>IF(B4=0,0,G26/B4)</f>
        <v/>
      </c>
      <c r="G26" s="17">
        <f>IF(D26=0,0,(E26/D26)*C26)</f>
        <v/>
      </c>
    </row>
    <row r="27">
      <c r="A27" s="19" t="inlineStr">
        <is>
          <t>Total</t>
        </is>
      </c>
      <c r="B27" s="20">
        <f>B9+D9</f>
        <v/>
      </c>
      <c r="C27" s="21">
        <f>C25+C26</f>
        <v/>
      </c>
      <c r="D27" s="22">
        <f>D25+D26</f>
        <v/>
      </c>
      <c r="E27" s="22">
        <f>E25+E26</f>
        <v/>
      </c>
      <c r="F27" s="22">
        <f>F25+F26</f>
        <v/>
      </c>
      <c r="G27" s="21">
        <f>G25+G26</f>
        <v/>
      </c>
    </row>
    <row r="30">
      <c r="A30" s="2" t="inlineStr">
        <is>
          <t>ACHIEVEMENT SCENARIOS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23" t="inlineStr">
        <is>
          <t>M1 tier — GP target &amp; commission</t>
        </is>
      </c>
      <c r="G31" s="23" t="inlineStr">
        <is>
          <t>M2 tier — Rev target &amp; commission</t>
        </is>
      </c>
    </row>
    <row r="32">
      <c r="A32" s="14" t="inlineStr">
        <is>
          <t>Achievement</t>
        </is>
      </c>
      <c r="B32" s="14" t="inlineStr">
        <is>
          <t>GP target (USD)</t>
        </is>
      </c>
      <c r="C32" s="14" t="inlineStr">
        <is>
          <t>GP target (THB)</t>
        </is>
      </c>
      <c r="D32" s="14" t="inlineStr">
        <is>
          <t>Commission (THB)</t>
        </is>
      </c>
      <c r="E32" s="14" t="inlineStr">
        <is>
          <t>Current?</t>
        </is>
      </c>
      <c r="G32" s="14" t="inlineStr">
        <is>
          <t>Achievement</t>
        </is>
      </c>
      <c r="H32" s="14" t="inlineStr">
        <is>
          <t>Rev target (USD)</t>
        </is>
      </c>
      <c r="I32" s="14" t="inlineStr">
        <is>
          <t>Rev target (THB)</t>
        </is>
      </c>
      <c r="J32" s="14" t="inlineStr">
        <is>
          <t>Commission (THB)</t>
        </is>
      </c>
      <c r="K32" s="14" t="inlineStr">
        <is>
          <t>Current?</t>
        </is>
      </c>
    </row>
    <row r="33">
      <c r="A33" s="24" t="n">
        <v>50</v>
      </c>
      <c r="B33" s="25">
        <f>$D$25*(A33/100)</f>
        <v/>
      </c>
      <c r="C33" s="26">
        <f>B33*$B$4</f>
        <v/>
      </c>
      <c r="D33" s="26">
        <f>(A33/100)*$C$25</f>
        <v/>
      </c>
      <c r="E33" s="27">
        <f>IF(ABS($E$25/$D$25*100-A33)&lt;0.5,"★","")</f>
        <v/>
      </c>
      <c r="G33" s="24" t="n">
        <v>50</v>
      </c>
      <c r="H33" s="25">
        <f>$D$26*(G33/100)</f>
        <v/>
      </c>
      <c r="I33" s="26">
        <f>H33*$B$4</f>
        <v/>
      </c>
      <c r="J33" s="26">
        <f>(G33/100)*$C$26</f>
        <v/>
      </c>
      <c r="K33" s="27">
        <f>IF(ABS($E$26/$D$26*100-G33)&lt;0.5,"★","")</f>
        <v/>
      </c>
    </row>
    <row r="34">
      <c r="A34" s="24" t="n">
        <v>75</v>
      </c>
      <c r="B34" s="25">
        <f>$D$25*(A34/100)</f>
        <v/>
      </c>
      <c r="C34" s="26">
        <f>B34*$B$4</f>
        <v/>
      </c>
      <c r="D34" s="26">
        <f>(A34/100)*$C$25</f>
        <v/>
      </c>
      <c r="E34" s="27">
        <f>IF(ABS($E$25/$D$25*100-A34)&lt;0.5,"★","")</f>
        <v/>
      </c>
      <c r="G34" s="24" t="n">
        <v>75</v>
      </c>
      <c r="H34" s="25">
        <f>$D$26*(G34/100)</f>
        <v/>
      </c>
      <c r="I34" s="26">
        <f>H34*$B$4</f>
        <v/>
      </c>
      <c r="J34" s="26">
        <f>(G34/100)*$C$26</f>
        <v/>
      </c>
      <c r="K34" s="27">
        <f>IF(ABS($E$26/$D$26*100-G34)&lt;0.5,"★","")</f>
        <v/>
      </c>
    </row>
    <row r="35">
      <c r="A35" s="24" t="n">
        <v>100</v>
      </c>
      <c r="B35" s="25">
        <f>$D$25*(A35/100)</f>
        <v/>
      </c>
      <c r="C35" s="26">
        <f>B35*$B$4</f>
        <v/>
      </c>
      <c r="D35" s="26">
        <f>(A35/100)*$C$25</f>
        <v/>
      </c>
      <c r="E35" s="27">
        <f>IF(ABS($E$25/$D$25*100-A35)&lt;0.5,"★","")</f>
        <v/>
      </c>
      <c r="G35" s="24" t="n">
        <v>100</v>
      </c>
      <c r="H35" s="25">
        <f>$D$26*(G35/100)</f>
        <v/>
      </c>
      <c r="I35" s="26">
        <f>H35*$B$4</f>
        <v/>
      </c>
      <c r="J35" s="26">
        <f>(G35/100)*$C$26</f>
        <v/>
      </c>
      <c r="K35" s="27">
        <f>IF(ABS($E$26/$D$26*100-G35)&lt;0.5,"★","")</f>
        <v/>
      </c>
    </row>
    <row r="36">
      <c r="A36" s="24" t="n">
        <v>125</v>
      </c>
      <c r="B36" s="25">
        <f>$D$25*(A36/100)</f>
        <v/>
      </c>
      <c r="C36" s="26">
        <f>B36*$B$4</f>
        <v/>
      </c>
      <c r="D36" s="26">
        <f>(A36/100)*$C$25</f>
        <v/>
      </c>
      <c r="E36" s="27">
        <f>IF(ABS($E$25/$D$25*100-A36)&lt;0.5,"★","")</f>
        <v/>
      </c>
      <c r="G36" s="24" t="n">
        <v>125</v>
      </c>
      <c r="H36" s="25">
        <f>$D$26*(G36/100)</f>
        <v/>
      </c>
      <c r="I36" s="26">
        <f>H36*$B$4</f>
        <v/>
      </c>
      <c r="J36" s="26">
        <f>(G36/100)*$C$26</f>
        <v/>
      </c>
      <c r="K36" s="27">
        <f>IF(ABS($E$26/$D$26*100-G36)&lt;0.5,"★","")</f>
        <v/>
      </c>
    </row>
    <row r="37">
      <c r="A37" s="24" t="n">
        <v>150</v>
      </c>
      <c r="B37" s="25">
        <f>$D$25*(A37/100)</f>
        <v/>
      </c>
      <c r="C37" s="26">
        <f>B37*$B$4</f>
        <v/>
      </c>
      <c r="D37" s="26">
        <f>(A37/100)*$C$25</f>
        <v/>
      </c>
      <c r="E37" s="27">
        <f>IF(ABS($E$25/$D$25*100-A37)&lt;0.5,"★","")</f>
        <v/>
      </c>
      <c r="G37" s="24" t="n">
        <v>150</v>
      </c>
      <c r="H37" s="25">
        <f>$D$26*(G37/100)</f>
        <v/>
      </c>
      <c r="I37" s="26">
        <f>H37*$B$4</f>
        <v/>
      </c>
      <c r="J37" s="26">
        <f>(G37/100)*$C$26</f>
        <v/>
      </c>
      <c r="K37" s="27">
        <f>IF(ABS($E$26/$D$26*100-G37)&lt;0.5,"★","")</f>
        <v/>
      </c>
    </row>
  </sheetData>
  <mergeCells count="7">
    <mergeCell ref="A3:K3"/>
    <mergeCell ref="A30:K30"/>
    <mergeCell ref="A11:K11"/>
    <mergeCell ref="A31:E31"/>
    <mergeCell ref="G31:K31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2026-06-18T14:34:10Z</dcterms:created>
  <dcterms:modified xsi:type="dcterms:W3CDTF">2026-06-18T14:34:10Z</dcterms:modified>
</cp:coreProperties>
</file>